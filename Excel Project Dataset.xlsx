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030D99DE-F079-4E84-89FD-8718C7B3C4DD}"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Pivot Tables" sheetId="3" r:id="rId2"/>
    <sheet name="Working Sheet" sheetId="4" r:id="rId3"/>
    <sheet name="Dashboard" sheetId="5" r:id="rId4"/>
  </sheets>
  <definedNames>
    <definedName name="_xlnm._FilterDatabase" localSheetId="0" hidden="1">bike_buyers!$A$1:$M$1001</definedName>
    <definedName name="_xlnm._FilterDatabase" localSheetId="2"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<sst xmlns="http://schemas.openxmlformats.org/spreadsheetml/2006/main" count="16267" uniqueCount="51">
  <si>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</si>
  <si>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</si>
  <si>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</si>
  <si>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</si>
  <si>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</si>
  <si>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</si>
  <si>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</si>
  <si>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</si>
  <si>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</si>
  <si>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</si>
  <si>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</si>
  <si>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</si>
  <si>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</si>
  <si>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</si>
  <si>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</si>
  <si>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</si>
  <si>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</si>
  <si>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</si>
  <si>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</si>
  <si>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</si>
  <si>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</si>
  <si>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</si>
  <si>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</si>
  <si>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</si>
  <si>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</si>
  <si>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</si>
  <si>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</si>
  <si>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</si>
  <si>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</si>
  <si>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</si>
  <si>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</si>
  <si>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</si>
  <si>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</si>
  <si>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</si>
  <si>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</si>
  <si>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</si>
  <si>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</si>
  <si>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</si>
  <si>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</si>
  <si>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</si>
  <si>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Row Labels</t>
  </si>
  <si>
    <t>Grand Total</t>
  </si>
  <si>
    <t>Column Labels</t>
  </si>
  <si>
    <t>Average of Income</t>
  </si>
  <si>
    <t>Count of Purchased Bike</t>
  </si>
  <si>
    <t>More than 10 miles</t>
  </si>
  <si>
    <t>Age Bracket</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</si>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</sst>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409]#,##0.00"/>
    <numFmt numFmtId="166"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[$$-409]#,##0</c:formatCode>
                <c:ptCount val="2"/>
                <c:pt idx="0">
                  <c:v>54885.496183206109</c:v>
                </c:pt>
                <c:pt idx="1">
                  <c:v>59431.818181818184</c:v>
                </c:pt>
              </c:numCache>
            </c:numRef>
          </c:val>
          <c:extLst>
            <c:ext xmlns:c16="http://schemas.microsoft.com/office/drawing/2014/chart" uri="{C3380CC4-5D6E-409C-BE32-E72D297353CC}">
              <c16:uniqueId val="{00000000-CC7A-4729-8222-DE4C3CDB33F7}"/>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[$$-409]#,##0</c:formatCode>
                <c:ptCount val="2"/>
                <c:pt idx="0">
                  <c:v>59259.259259259263</c:v>
                </c:pt>
                <c:pt idx="1">
                  <c:v>61300.813008130084</c:v>
                </c:pt>
              </c:numCache>
            </c:numRef>
          </c:val>
          <c:extLst>
            <c:ext xmlns:c16="http://schemas.microsoft.com/office/drawing/2014/chart" uri="{C3380CC4-5D6E-409C-BE32-E72D297353CC}">
              <c16:uniqueId val="{00000001-CC7A-4729-8222-DE4C3CDB33F7}"/>
            </c:ext>
          </c:extLst>
        </c:ser>
        <c:dLbls>
          <c:showLegendKey val="0"/>
          <c:showVal val="0"/>
          <c:showCatName val="0"/>
          <c:showSerName val="0"/>
          <c:showPercent val="0"/>
          <c:showBubbleSize val="0"/>
        </c:dLbls>
        <c:gapWidth val="219"/>
        <c:overlap val="-27"/>
        <c:axId val="470114671"/>
        <c:axId val="470135791"/>
      </c:barChart>
      <c:catAx>
        <c:axId val="470114671"/>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IN" sz="1400" b="0">
                    <a:solidFill>
                      <a:schemeClr val="tx1"/>
                    </a:solidFill>
                  </a:rPr>
                  <a:t>Gender</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135791"/>
        <c:crosses val="autoZero"/>
        <c:auto val="1"/>
        <c:lblAlgn val="ctr"/>
        <c:lblOffset val="100"/>
        <c:noMultiLvlLbl val="0"/>
      </c:catAx>
      <c:valAx>
        <c:axId val="470135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IN" sz="1400" b="0">
                    <a:solidFill>
                      <a:sysClr val="windowText" lastClr="000000"/>
                    </a:solidFill>
                  </a:rPr>
                  <a:t>Income</a:t>
                </a:r>
              </a:p>
            </c:rich>
          </c:tx>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11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5"/>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Tables'!$B$21:$B$22</c:f>
              <c:strCache>
                <c:ptCount val="1"/>
                <c:pt idx="0">
                  <c:v>No</c:v>
                </c:pt>
              </c:strCache>
            </c:strRef>
          </c:tx>
          <c:spPr>
            <a:ln w="28575" cap="rnd">
              <a:solidFill>
                <a:schemeClr val="accent1"/>
              </a:solidFill>
              <a:round/>
            </a:ln>
            <a:effectLst/>
          </c:spPr>
          <c:marker>
            <c:symbol val="none"/>
          </c:marker>
          <c:cat>
            <c:strRef>
              <c:f>'Pivot Tables'!$A$23:$A$28</c:f>
              <c:strCache>
                <c:ptCount val="5"/>
                <c:pt idx="0">
                  <c:v>0-1 Miles</c:v>
                </c:pt>
                <c:pt idx="1">
                  <c:v>1-2 Miles</c:v>
                </c:pt>
                <c:pt idx="2">
                  <c:v>2-5 Miles</c:v>
                </c:pt>
                <c:pt idx="3">
                  <c:v>5-10 Miles</c:v>
                </c:pt>
                <c:pt idx="4">
                  <c:v>More than 10 miles</c:v>
                </c:pt>
              </c:strCache>
            </c:strRef>
          </c:cat>
          <c:val>
            <c:numRef>
              <c:f>'Pivot Tables'!$B$23:$B$28</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233F-48EF-9185-6E82FFA2AAFD}"/>
            </c:ext>
          </c:extLst>
        </c:ser>
        <c:ser>
          <c:idx val="1"/>
          <c:order val="1"/>
          <c:tx>
            <c:strRef>
              <c:f>'Pivot Tables'!$C$21:$C$22</c:f>
              <c:strCache>
                <c:ptCount val="1"/>
                <c:pt idx="0">
                  <c:v>Yes</c:v>
                </c:pt>
              </c:strCache>
            </c:strRef>
          </c:tx>
          <c:spPr>
            <a:ln w="28575" cap="rnd">
              <a:solidFill>
                <a:schemeClr val="accent2"/>
              </a:solidFill>
              <a:round/>
            </a:ln>
            <a:effectLst/>
          </c:spPr>
          <c:marker>
            <c:symbol val="none"/>
          </c:marker>
          <c:cat>
            <c:strRef>
              <c:f>'Pivot Tables'!$A$23:$A$28</c:f>
              <c:strCache>
                <c:ptCount val="5"/>
                <c:pt idx="0">
                  <c:v>0-1 Miles</c:v>
                </c:pt>
                <c:pt idx="1">
                  <c:v>1-2 Miles</c:v>
                </c:pt>
                <c:pt idx="2">
                  <c:v>2-5 Miles</c:v>
                </c:pt>
                <c:pt idx="3">
                  <c:v>5-10 Miles</c:v>
                </c:pt>
                <c:pt idx="4">
                  <c:v>More than 10 miles</c:v>
                </c:pt>
              </c:strCache>
            </c:strRef>
          </c:cat>
          <c:val>
            <c:numRef>
              <c:f>'Pivot Tables'!$C$23:$C$28</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233F-48EF-9185-6E82FFA2AAFD}"/>
            </c:ext>
          </c:extLst>
        </c:ser>
        <c:dLbls>
          <c:showLegendKey val="0"/>
          <c:showVal val="0"/>
          <c:showCatName val="0"/>
          <c:showSerName val="0"/>
          <c:showPercent val="0"/>
          <c:showBubbleSize val="0"/>
        </c:dLbls>
        <c:smooth val="0"/>
        <c:axId val="598677807"/>
        <c:axId val="598678287"/>
      </c:lineChart>
      <c:catAx>
        <c:axId val="598677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78287"/>
        <c:crosses val="autoZero"/>
        <c:auto val="1"/>
        <c:lblAlgn val="ctr"/>
        <c:lblOffset val="100"/>
        <c:noMultiLvlLbl val="0"/>
      </c:catAx>
      <c:valAx>
        <c:axId val="59867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7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Tables'!$B$39:$B$40</c:f>
              <c:strCache>
                <c:ptCount val="1"/>
                <c:pt idx="0">
                  <c:v>No</c:v>
                </c:pt>
              </c:strCache>
            </c:strRef>
          </c:tx>
          <c:spPr>
            <a:ln w="28575" cap="rnd">
              <a:solidFill>
                <a:schemeClr val="accent1"/>
              </a:solidFill>
              <a:round/>
            </a:ln>
            <a:effectLst/>
          </c:spPr>
          <c:marker>
            <c:symbol val="none"/>
          </c:marker>
          <c:cat>
            <c:strRef>
              <c:f>'Pivot Tables'!$A$41:$A$44</c:f>
              <c:strCache>
                <c:ptCount val="3"/>
                <c:pt idx="0">
                  <c:v>Adolescent</c:v>
                </c:pt>
                <c:pt idx="1">
                  <c:v>Middle Age</c:v>
                </c:pt>
                <c:pt idx="2">
                  <c:v>Old</c:v>
                </c:pt>
              </c:strCache>
            </c:strRef>
          </c:cat>
          <c:val>
            <c:numRef>
              <c:f>'Pivot Tables'!$B$41:$B$44</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FF0B-4BDC-B1A7-CE92ECBD77B3}"/>
            </c:ext>
          </c:extLst>
        </c:ser>
        <c:ser>
          <c:idx val="1"/>
          <c:order val="1"/>
          <c:tx>
            <c:strRef>
              <c:f>'Pivot Tables'!$C$39:$C$40</c:f>
              <c:strCache>
                <c:ptCount val="1"/>
                <c:pt idx="0">
                  <c:v>Yes</c:v>
                </c:pt>
              </c:strCache>
            </c:strRef>
          </c:tx>
          <c:spPr>
            <a:ln w="28575" cap="rnd">
              <a:solidFill>
                <a:schemeClr val="accent2"/>
              </a:solidFill>
              <a:round/>
            </a:ln>
            <a:effectLst/>
          </c:spPr>
          <c:marker>
            <c:symbol val="none"/>
          </c:marker>
          <c:cat>
            <c:strRef>
              <c:f>'Pivot Tables'!$A$41:$A$44</c:f>
              <c:strCache>
                <c:ptCount val="3"/>
                <c:pt idx="0">
                  <c:v>Adolescent</c:v>
                </c:pt>
                <c:pt idx="1">
                  <c:v>Middle Age</c:v>
                </c:pt>
                <c:pt idx="2">
                  <c:v>Old</c:v>
                </c:pt>
              </c:strCache>
            </c:strRef>
          </c:cat>
          <c:val>
            <c:numRef>
              <c:f>'Pivot Tables'!$C$41:$C$44</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FF0B-4BDC-B1A7-CE92ECBD77B3}"/>
            </c:ext>
          </c:extLst>
        </c:ser>
        <c:dLbls>
          <c:showLegendKey val="0"/>
          <c:showVal val="0"/>
          <c:showCatName val="0"/>
          <c:showSerName val="0"/>
          <c:showPercent val="0"/>
          <c:showBubbleSize val="0"/>
        </c:dLbls>
        <c:smooth val="0"/>
        <c:axId val="598682607"/>
        <c:axId val="598683087"/>
      </c:lineChart>
      <c:catAx>
        <c:axId val="598682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83087"/>
        <c:crosses val="autoZero"/>
        <c:auto val="1"/>
        <c:lblAlgn val="ctr"/>
        <c:lblOffset val="100"/>
        <c:noMultiLvlLbl val="0"/>
      </c:catAx>
      <c:valAx>
        <c:axId val="598683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8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[$$-409]#,##0</c:formatCode>
                <c:ptCount val="2"/>
                <c:pt idx="0">
                  <c:v>54885.496183206109</c:v>
                </c:pt>
                <c:pt idx="1">
                  <c:v>59431.818181818184</c:v>
                </c:pt>
              </c:numCache>
            </c:numRef>
          </c:val>
          <c:extLst>
            <c:ext xmlns:c16="http://schemas.microsoft.com/office/drawing/2014/chart" uri="{C3380CC4-5D6E-409C-BE32-E72D297353CC}">
              <c16:uniqueId val="{00000000-AB54-49ED-B8B2-CF640E0E52C0}"/>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[$$-409]#,##0</c:formatCode>
                <c:ptCount val="2"/>
                <c:pt idx="0">
                  <c:v>59259.259259259263</c:v>
                </c:pt>
                <c:pt idx="1">
                  <c:v>61300.813008130084</c:v>
                </c:pt>
              </c:numCache>
            </c:numRef>
          </c:val>
          <c:extLst>
            <c:ext xmlns:c16="http://schemas.microsoft.com/office/drawing/2014/chart" uri="{C3380CC4-5D6E-409C-BE32-E72D297353CC}">
              <c16:uniqueId val="{00000001-AB54-49ED-B8B2-CF640E0E52C0}"/>
            </c:ext>
          </c:extLst>
        </c:ser>
        <c:dLbls>
          <c:showLegendKey val="0"/>
          <c:showVal val="0"/>
          <c:showCatName val="0"/>
          <c:showSerName val="0"/>
          <c:showPercent val="0"/>
          <c:showBubbleSize val="0"/>
        </c:dLbls>
        <c:gapWidth val="150"/>
        <c:axId val="470114671"/>
        <c:axId val="470135791"/>
      </c:barChart>
      <c:catAx>
        <c:axId val="47011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135791"/>
        <c:crosses val="autoZero"/>
        <c:auto val="1"/>
        <c:lblAlgn val="ctr"/>
        <c:lblOffset val="100"/>
        <c:noMultiLvlLbl val="0"/>
      </c:catAx>
      <c:valAx>
        <c:axId val="470135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IN" sz="1400" b="0">
                    <a:solidFill>
                      <a:sysClr val="windowText" lastClr="000000"/>
                    </a:solidFill>
                  </a:rPr>
                  <a:t>Income</a:t>
                </a:r>
              </a:p>
            </c:rich>
          </c:tx>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1146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Tables'!$B$21:$B$22</c:f>
              <c:strCache>
                <c:ptCount val="1"/>
                <c:pt idx="0">
                  <c:v>No</c:v>
                </c:pt>
              </c:strCache>
            </c:strRef>
          </c:tx>
          <c:spPr>
            <a:ln w="28575" cap="rnd">
              <a:solidFill>
                <a:schemeClr val="accent1"/>
              </a:solidFill>
              <a:round/>
            </a:ln>
            <a:effectLst/>
          </c:spPr>
          <c:marker>
            <c:symbol val="none"/>
          </c:marker>
          <c:cat>
            <c:strRef>
              <c:f>'Pivot Tables'!$A$23:$A$28</c:f>
              <c:strCache>
                <c:ptCount val="5"/>
                <c:pt idx="0">
                  <c:v>0-1 Miles</c:v>
                </c:pt>
                <c:pt idx="1">
                  <c:v>1-2 Miles</c:v>
                </c:pt>
                <c:pt idx="2">
                  <c:v>2-5 Miles</c:v>
                </c:pt>
                <c:pt idx="3">
                  <c:v>5-10 Miles</c:v>
                </c:pt>
                <c:pt idx="4">
                  <c:v>More than 10 miles</c:v>
                </c:pt>
              </c:strCache>
            </c:strRef>
          </c:cat>
          <c:val>
            <c:numRef>
              <c:f>'Pivot Tables'!$B$23:$B$28</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9EB3-4260-890D-FDC1C6BE4B02}"/>
            </c:ext>
          </c:extLst>
        </c:ser>
        <c:ser>
          <c:idx val="1"/>
          <c:order val="1"/>
          <c:tx>
            <c:strRef>
              <c:f>'Pivot Tables'!$C$21:$C$22</c:f>
              <c:strCache>
                <c:ptCount val="1"/>
                <c:pt idx="0">
                  <c:v>Yes</c:v>
                </c:pt>
              </c:strCache>
            </c:strRef>
          </c:tx>
          <c:spPr>
            <a:ln w="28575" cap="rnd">
              <a:solidFill>
                <a:schemeClr val="accent2"/>
              </a:solidFill>
              <a:round/>
            </a:ln>
            <a:effectLst/>
          </c:spPr>
          <c:marker>
            <c:symbol val="none"/>
          </c:marker>
          <c:cat>
            <c:strRef>
              <c:f>'Pivot Tables'!$A$23:$A$28</c:f>
              <c:strCache>
                <c:ptCount val="5"/>
                <c:pt idx="0">
                  <c:v>0-1 Miles</c:v>
                </c:pt>
                <c:pt idx="1">
                  <c:v>1-2 Miles</c:v>
                </c:pt>
                <c:pt idx="2">
                  <c:v>2-5 Miles</c:v>
                </c:pt>
                <c:pt idx="3">
                  <c:v>5-10 Miles</c:v>
                </c:pt>
                <c:pt idx="4">
                  <c:v>More than 10 miles</c:v>
                </c:pt>
              </c:strCache>
            </c:strRef>
          </c:cat>
          <c:val>
            <c:numRef>
              <c:f>'Pivot Tables'!$C$23:$C$28</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9EB3-4260-890D-FDC1C6BE4B02}"/>
            </c:ext>
          </c:extLst>
        </c:ser>
        <c:dLbls>
          <c:showLegendKey val="0"/>
          <c:showVal val="0"/>
          <c:showCatName val="0"/>
          <c:showSerName val="0"/>
          <c:showPercent val="0"/>
          <c:showBubbleSize val="0"/>
        </c:dLbls>
        <c:smooth val="0"/>
        <c:axId val="598677807"/>
        <c:axId val="598678287"/>
      </c:lineChart>
      <c:catAx>
        <c:axId val="598677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78287"/>
        <c:crosses val="autoZero"/>
        <c:auto val="1"/>
        <c:lblAlgn val="ctr"/>
        <c:lblOffset val="100"/>
        <c:noMultiLvlLbl val="0"/>
      </c:catAx>
      <c:valAx>
        <c:axId val="59867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7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Tables'!$B$39:$B$40</c:f>
              <c:strCache>
                <c:ptCount val="1"/>
                <c:pt idx="0">
                  <c:v>No</c:v>
                </c:pt>
              </c:strCache>
            </c:strRef>
          </c:tx>
          <c:spPr>
            <a:ln w="28575" cap="rnd">
              <a:solidFill>
                <a:schemeClr val="accent1"/>
              </a:solidFill>
              <a:round/>
            </a:ln>
            <a:effectLst/>
          </c:spPr>
          <c:marker>
            <c:symbol val="none"/>
          </c:marker>
          <c:cat>
            <c:strRef>
              <c:f>'Pivot Tables'!$A$41:$A$44</c:f>
              <c:strCache>
                <c:ptCount val="3"/>
                <c:pt idx="0">
                  <c:v>Adolescent</c:v>
                </c:pt>
                <c:pt idx="1">
                  <c:v>Middle Age</c:v>
                </c:pt>
                <c:pt idx="2">
                  <c:v>Old</c:v>
                </c:pt>
              </c:strCache>
            </c:strRef>
          </c:cat>
          <c:val>
            <c:numRef>
              <c:f>'Pivot Tables'!$B$41:$B$44</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2432-4FA2-83F7-06D9E2D8831B}"/>
            </c:ext>
          </c:extLst>
        </c:ser>
        <c:ser>
          <c:idx val="1"/>
          <c:order val="1"/>
          <c:tx>
            <c:strRef>
              <c:f>'Pivot Tables'!$C$39:$C$40</c:f>
              <c:strCache>
                <c:ptCount val="1"/>
                <c:pt idx="0">
                  <c:v>Yes</c:v>
                </c:pt>
              </c:strCache>
            </c:strRef>
          </c:tx>
          <c:spPr>
            <a:ln w="28575" cap="rnd">
              <a:solidFill>
                <a:schemeClr val="accent2"/>
              </a:solidFill>
              <a:round/>
            </a:ln>
            <a:effectLst/>
          </c:spPr>
          <c:marker>
            <c:symbol val="none"/>
          </c:marker>
          <c:cat>
            <c:strRef>
              <c:f>'Pivot Tables'!$A$41:$A$44</c:f>
              <c:strCache>
                <c:ptCount val="3"/>
                <c:pt idx="0">
                  <c:v>Adolescent</c:v>
                </c:pt>
                <c:pt idx="1">
                  <c:v>Middle Age</c:v>
                </c:pt>
                <c:pt idx="2">
                  <c:v>Old</c:v>
                </c:pt>
              </c:strCache>
            </c:strRef>
          </c:cat>
          <c:val>
            <c:numRef>
              <c:f>'Pivot Tables'!$C$41:$C$44</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2432-4FA2-83F7-06D9E2D8831B}"/>
            </c:ext>
          </c:extLst>
        </c:ser>
        <c:dLbls>
          <c:showLegendKey val="0"/>
          <c:showVal val="0"/>
          <c:showCatName val="0"/>
          <c:showSerName val="0"/>
          <c:showPercent val="0"/>
          <c:showBubbleSize val="0"/>
        </c:dLbls>
        <c:smooth val="0"/>
        <c:axId val="598682607"/>
        <c:axId val="598683087"/>
      </c:lineChart>
      <c:catAx>
        <c:axId val="598682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83087"/>
        <c:crosses val="autoZero"/>
        <c:auto val="1"/>
        <c:lblAlgn val="ctr"/>
        <c:lblOffset val="100"/>
        <c:noMultiLvlLbl val="0"/>
      </c:catAx>
      <c:valAx>
        <c:axId val="598683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8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365760</xdr:colOff>
      <xdr:row>0</xdr:row>
      <xdr:rowOff>114300</xdr:rowOff>
    </xdr:from>
    <xdr:to>
      <xdr:col>12</xdr:col>
      <xdr:colOff>365760</xdr:colOff>
      <xdr:row>17</xdr:row>
      <xdr:rowOff>41910</xdr:rowOff>
    </xdr:to>
    <xdr:graphicFrame macro="">
      <xdr:nvGraphicFramePr>
        <xdr:cNvPr id="2" name="Chart 1">
          <a:extLst>
            <a:ext uri="{FF2B5EF4-FFF2-40B4-BE49-F238E27FC236}">
              <a16:creationId xmlns:a16="http://schemas.microsoft.com/office/drawing/2014/main" id="{E7ECEC6B-A0D2-7CDB-54F3-609AF30E1D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388620</xdr:colOff>
      <xdr:row>19</xdr:row>
      <xdr:rowOff>102870</xdr:rowOff>
    </xdr:from>
    <xdr:to>
      <xdr:col>12</xdr:col>
      <xdr:colOff>83820</xdr:colOff>
      <xdr:row>34</xdr:row>
      <xdr:rowOff>102870</xdr:rowOff>
    </xdr:to>
    <xdr:graphicFrame macro="">
      <xdr:nvGraphicFramePr>
        <xdr:cNvPr id="3" name="Chart 2">
          <a:extLst>
            <a:ext uri="{FF2B5EF4-FFF2-40B4-BE49-F238E27FC236}">
              <a16:creationId xmlns:a16="http://schemas.microsoft.com/office/drawing/2014/main" id="{98172CEC-0357-0E94-7E9E-37AF67CD59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464820</xdr:colOff>
      <xdr:row>37</xdr:row>
      <xdr:rowOff>179070</xdr:rowOff>
    </xdr:from>
    <xdr:to>
      <xdr:col>12</xdr:col>
      <xdr:colOff>160020</xdr:colOff>
      <xdr:row>52</xdr:row>
      <xdr:rowOff>179070</xdr:rowOff>
    </xdr:to>
    <xdr:graphicFrame macro="">
      <xdr:nvGraphicFramePr>
        <xdr:cNvPr id="4" name="Chart 3">
          <a:extLst>
            <a:ext uri="{FF2B5EF4-FFF2-40B4-BE49-F238E27FC236}">
              <a16:creationId xmlns:a16="http://schemas.microsoft.com/office/drawing/2014/main" id="{98B3283C-F142-40A6-BD32-AF42BB7A2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83820</xdr:colOff>
      <xdr:row>3</xdr:row>
      <xdr:rowOff>30480</xdr:rowOff>
    </xdr:from>
    <xdr:to>
      <xdr:col>9</xdr:col>
      <xdr:colOff>7620</xdr:colOff>
      <xdr:row>14</xdr:row>
      <xdr:rowOff>83820</xdr:rowOff>
    </xdr:to>
    <xdr:graphicFrame macro="">
      <xdr:nvGraphicFramePr>
        <xdr:cNvPr id="2" name="Chart 1">
          <a:extLst>
            <a:ext uri="{FF2B5EF4-FFF2-40B4-BE49-F238E27FC236}">
              <a16:creationId xmlns:a16="http://schemas.microsoft.com/office/drawing/2014/main" id="{F9DDF248-B550-4300-8BE5-5FF20724B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83820</xdr:colOff>
      <xdr:row>14</xdr:row>
      <xdr:rowOff>106680</xdr:rowOff>
    </xdr:from>
    <xdr:to>
      <xdr:col>14</xdr:col>
      <xdr:colOff>0</xdr:colOff>
      <xdr:row>26</xdr:row>
      <xdr:rowOff>15240</xdr:rowOff>
    </xdr:to>
    <xdr:graphicFrame macro="">
      <xdr:nvGraphicFramePr>
        <xdr:cNvPr id="3" name="Chart 2">
          <a:extLst>
            <a:ext uri="{FF2B5EF4-FFF2-40B4-BE49-F238E27FC236}">
              <a16:creationId xmlns:a16="http://schemas.microsoft.com/office/drawing/2014/main" id="{A47E66C8-2E43-47A4-8451-D552DEDF6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30480</xdr:colOff>
      <xdr:row>3</xdr:row>
      <xdr:rowOff>30480</xdr:rowOff>
    </xdr:from>
    <xdr:to>
      <xdr:col>13</xdr:col>
      <xdr:colOff>601980</xdr:colOff>
      <xdr:row>14</xdr:row>
      <xdr:rowOff>76200</xdr:rowOff>
    </xdr:to>
    <xdr:graphicFrame macro="">
      <xdr:nvGraphicFramePr>
        <xdr:cNvPr id="4" name="Chart 3">
          <a:extLst>
            <a:ext uri="{FF2B5EF4-FFF2-40B4-BE49-F238E27FC236}">
              <a16:creationId xmlns:a16="http://schemas.microsoft.com/office/drawing/2014/main" id="{3E37456A-B0B1-4980-BB32-15E7517DC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327660</xdr:colOff>
      <xdr:row>3</xdr:row>
      <xdr:rowOff>7621</xdr:rowOff>
    </xdr:from>
    <xdr:to>
      <xdr:col>4</xdr:col>
      <xdr:colOff>53340</xdr:colOff>
      <xdr:row>8</xdr:row>
      <xdr:rowOff>53340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43D89ABB-BC17-7E4A-2B08-1CE8BE57B95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937260" y="556261"/>
              <a:ext cx="1554480" cy="960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327660</xdr:colOff>
      <xdr:row>14</xdr:row>
      <xdr:rowOff>160021</xdr:rowOff>
    </xdr:from>
    <xdr:to>
      <xdr:col>4</xdr:col>
      <xdr:colOff>68580</xdr:colOff>
      <xdr:row>24</xdr:row>
      <xdr:rowOff>76201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10E5B0B5-6785-1D11-05D2-850667096F2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37260" y="2720341"/>
              <a:ext cx="156972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327660</xdr:colOff>
      <xdr:row>8</xdr:row>
      <xdr:rowOff>68581</xdr:rowOff>
    </xdr:from>
    <xdr:to>
      <xdr:col>4</xdr:col>
      <xdr:colOff>53340</xdr:colOff>
      <xdr:row>14</xdr:row>
      <xdr:rowOff>137161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A2F15C3-F501-65F0-CCAE-97754F8893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37260" y="1531621"/>
              <a:ext cx="155448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7.110483564815" createdVersion="8" refreshedVersion="8" minRefreshableVersion="3" recordCount="1000" xr:uid="{6D097ADF-13FC-40CF-8104-4F2C19010C5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055694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95B5B3-6E8D-49B7-9C01-3EFFEBF2E62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D28"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AF0B89-991C-49AE-9555-CD070A976A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1FA793-F96B-4F7A-8FC1-529AC12575D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9:D44"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EDC2DD6-C16C-4CB7-B0F8-66C7D2221F55}" sourceName="Marital Status">
  <pivotTables>
    <pivotTable tabId="3" name="PivotTable1"/>
    <pivotTable tabId="3" name="PivotTable2"/>
    <pivotTable tabId="3" name="PivotTable3"/>
  </pivotTables>
  <data>
    <tabular pivotCacheId="50556943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39743D9-7F78-42EF-A2A8-9AA831991C31}" sourceName="Education">
  <pivotTables>
    <pivotTable tabId="3" name="PivotTable1"/>
    <pivotTable tabId="3" name="PivotTable2"/>
    <pivotTable tabId="3" name="PivotTable3"/>
  </pivotTables>
  <data>
    <tabular pivotCacheId="50556943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2054644-C150-4BEA-B3E8-DA723A4EBD39}" sourceName="Region">
  <pivotTables>
    <pivotTable tabId="3" name="PivotTable1"/>
    <pivotTable tabId="3" name="PivotTable2"/>
    <pivotTable tabId="3" name="PivotTable3"/>
  </pivotTables>
  <data>
    <tabular pivotCacheId="50556943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9C62302-71C6-450B-BFAE-459360D06334}" cache="Slicer_Marital_Status" caption="Marital Status" rowHeight="234950"/>
  <slicer name="Education" xr10:uid="{B9D73947-D7B4-4512-99FA-F83C5B124E86}" cache="Slicer_Education" caption="Education" rowHeight="234950"/>
  <slicer name="Region" xr10:uid="{21FC6CAD-D07E-4970-9EBC-7FBB0B94AB9F}"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1" workbookViewId="0">
      <selection activeCell="N10" sqref="N1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26A5D-0998-4620-9EEB-DA4AC7B0FAB0}">
  <dimension ref="A3:D44"/>
  <sheetViews>
    <sheetView topLeftCell="A28" workbookViewId="0">
      <selection activeCell="C10" sqref="C10"/>
    </sheetView>
  </sheetViews>
  <sheetFormatPr defaultRowHeight="14.4" x14ac:dyDescent="0.3"/>
  <cols>
    <col min="1" max="1" width="17" bestFit="1" customWidth="1"/>
    <col min="2" max="2" width="15.5546875" bestFit="1" customWidth="1"/>
    <col min="3" max="3" width="7.5546875" bestFit="1" customWidth="1"/>
    <col min="4" max="4" width="10.77734375" bestFit="1" customWidth="1"/>
  </cols>
  <sheetData>
    <row r="3" spans="1:4" x14ac:dyDescent="0.3">
      <c r="A3" s="4" t="s">
        <v>43</v>
      </c>
      <c r="B3" s="4" t="s">
        <v>42</v>
      </c>
    </row>
    <row r="4" spans="1:4" x14ac:dyDescent="0.3">
      <c r="A4" s="4" t="s">
        <v>40</v>
      </c>
      <c r="B4" t="s">
        <v>18</v>
      </c>
      <c r="C4" t="s">
        <v>15</v>
      </c>
      <c r="D4" t="s">
        <v>41</v>
      </c>
    </row>
    <row r="5" spans="1:4" x14ac:dyDescent="0.3">
      <c r="A5" s="5" t="s">
        <v>38</v>
      </c>
      <c r="B5" s="6">
        <v>54885.496183206109</v>
      </c>
      <c r="C5" s="6">
        <v>59259.259259259263</v>
      </c>
      <c r="D5" s="6">
        <v>56861.924686192469</v>
      </c>
    </row>
    <row r="6" spans="1:4" x14ac:dyDescent="0.3">
      <c r="A6" s="5" t="s">
        <v>39</v>
      </c>
      <c r="B6" s="6">
        <v>59431.818181818184</v>
      </c>
      <c r="C6" s="6">
        <v>61300.813008130084</v>
      </c>
      <c r="D6" s="6">
        <v>60200.668896321069</v>
      </c>
    </row>
    <row r="7" spans="1:4" x14ac:dyDescent="0.3">
      <c r="A7" s="5" t="s">
        <v>41</v>
      </c>
      <c r="B7" s="6">
        <v>57491.856677524433</v>
      </c>
      <c r="C7" s="6">
        <v>60346.320346320346</v>
      </c>
      <c r="D7" s="6">
        <v>58717.472118959107</v>
      </c>
    </row>
    <row r="21" spans="1:4" x14ac:dyDescent="0.3">
      <c r="A21" s="4" t="s">
        <v>44</v>
      </c>
      <c r="B21" s="4" t="s">
        <v>42</v>
      </c>
    </row>
    <row r="22" spans="1:4" x14ac:dyDescent="0.3">
      <c r="A22" s="4" t="s">
        <v>40</v>
      </c>
      <c r="B22" t="s">
        <v>18</v>
      </c>
      <c r="C22" t="s">
        <v>15</v>
      </c>
      <c r="D22" t="s">
        <v>41</v>
      </c>
    </row>
    <row r="23" spans="1:4" x14ac:dyDescent="0.3">
      <c r="A23" s="5" t="s">
        <v>16</v>
      </c>
      <c r="B23">
        <v>107</v>
      </c>
      <c r="C23">
        <v>98</v>
      </c>
      <c r="D23">
        <v>205</v>
      </c>
    </row>
    <row r="24" spans="1:4" x14ac:dyDescent="0.3">
      <c r="A24" s="5" t="s">
        <v>26</v>
      </c>
      <c r="B24">
        <v>50</v>
      </c>
      <c r="C24">
        <v>38</v>
      </c>
      <c r="D24">
        <v>88</v>
      </c>
    </row>
    <row r="25" spans="1:4" x14ac:dyDescent="0.3">
      <c r="A25" s="5" t="s">
        <v>22</v>
      </c>
      <c r="B25">
        <v>37</v>
      </c>
      <c r="C25">
        <v>44</v>
      </c>
      <c r="D25">
        <v>81</v>
      </c>
    </row>
    <row r="26" spans="1:4" x14ac:dyDescent="0.3">
      <c r="A26" s="5" t="s">
        <v>23</v>
      </c>
      <c r="B26">
        <v>63</v>
      </c>
      <c r="C26">
        <v>38</v>
      </c>
      <c r="D26">
        <v>101</v>
      </c>
    </row>
    <row r="27" spans="1:4" x14ac:dyDescent="0.3">
      <c r="A27" s="5" t="s">
        <v>45</v>
      </c>
      <c r="B27">
        <v>50</v>
      </c>
      <c r="C27">
        <v>13</v>
      </c>
      <c r="D27">
        <v>63</v>
      </c>
    </row>
    <row r="28" spans="1:4" x14ac:dyDescent="0.3">
      <c r="A28" s="5" t="s">
        <v>41</v>
      </c>
      <c r="B28">
        <v>307</v>
      </c>
      <c r="C28">
        <v>231</v>
      </c>
      <c r="D28">
        <v>538</v>
      </c>
    </row>
    <row r="39" spans="1:4" x14ac:dyDescent="0.3">
      <c r="A39" s="4" t="s">
        <v>44</v>
      </c>
      <c r="B39" s="4" t="s">
        <v>42</v>
      </c>
    </row>
    <row r="40" spans="1:4" x14ac:dyDescent="0.3">
      <c r="A40" s="4" t="s">
        <v>40</v>
      </c>
      <c r="B40" t="s">
        <v>18</v>
      </c>
      <c r="C40" t="s">
        <v>15</v>
      </c>
      <c r="D40" t="s">
        <v>41</v>
      </c>
    </row>
    <row r="41" spans="1:4" x14ac:dyDescent="0.3">
      <c r="A41" s="5" t="s">
        <v>47</v>
      </c>
      <c r="B41">
        <v>24</v>
      </c>
      <c r="C41">
        <v>14</v>
      </c>
      <c r="D41">
        <v>38</v>
      </c>
    </row>
    <row r="42" spans="1:4" x14ac:dyDescent="0.3">
      <c r="A42" s="5" t="s">
        <v>48</v>
      </c>
      <c r="B42">
        <v>187</v>
      </c>
      <c r="C42">
        <v>185</v>
      </c>
      <c r="D42">
        <v>372</v>
      </c>
    </row>
    <row r="43" spans="1:4" x14ac:dyDescent="0.3">
      <c r="A43" s="5" t="s">
        <v>49</v>
      </c>
      <c r="B43">
        <v>96</v>
      </c>
      <c r="C43">
        <v>32</v>
      </c>
      <c r="D43">
        <v>128</v>
      </c>
    </row>
    <row r="44" spans="1:4" x14ac:dyDescent="0.3">
      <c r="A44" s="5" t="s">
        <v>41</v>
      </c>
      <c r="B44">
        <v>307</v>
      </c>
      <c r="C44">
        <v>231</v>
      </c>
      <c r="D44">
        <v>538</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E1E48-8D47-4CB8-84C9-9CE3C5D46F29}">
  <dimension ref="A1:N1027"/>
  <sheetViews>
    <sheetView workbookViewId="0">
      <selection activeCell="M2" sqref="M2"/>
    </sheetView>
  </sheetViews>
  <sheetFormatPr defaultRowHeight="14.4" x14ac:dyDescent="0.3"/>
  <cols>
    <col min="4" max="4" width="11.44140625" style="3" bestFit="1" customWidth="1"/>
    <col min="6" max="6" width="15.109375" customWidth="1"/>
    <col min="7" max="7" width="15.44140625" customWidth="1"/>
    <col min="8" max="8" width="11.77734375" customWidth="1"/>
    <col min="10" max="10" width="16" customWidth="1"/>
    <col min="13" max="13" width="12.88671875" customWidth="1"/>
    <col min="14" max="14" width="16" customWidth="1"/>
  </cols>
  <sheetData>
    <row r="1" spans="1:14" x14ac:dyDescent="0.3">
      <c r="A1" t="s">
        <v>0</v>
      </c>
      <c r="B1" t="s">
        <v>1</v>
      </c>
      <c r="C1" t="s">
        <v>2</v>
      </c>
      <c r="D1" s="3" t="s">
        <v>3</v>
      </c>
      <c r="E1" t="s">
        <v>4</v>
      </c>
      <c r="F1" t="s">
        <v>5</v>
      </c>
      <c r="G1" t="s">
        <v>6</v>
      </c>
      <c r="H1" t="s">
        <v>7</v>
      </c>
      <c r="I1" t="s">
        <v>8</v>
      </c>
      <c r="J1" t="s">
        <v>9</v>
      </c>
      <c r="K1" t="s">
        <v>10</v>
      </c>
      <c r="L1" t="s">
        <v>11</v>
      </c>
      <c r="M1" t="s">
        <v>46</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45</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45</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45</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45</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45</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45</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45</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45</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45</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45</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45</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45</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45</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45</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45</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45</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45</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45</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45</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45</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45</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45</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45</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45</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45</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45</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45</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45</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45</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45</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45</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45</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45</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45</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45</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45</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45</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45</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45</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45</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45</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45</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45</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45</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45</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45</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45</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45</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45</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45</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45</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45</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45</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45</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45</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45</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45</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45</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45</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45</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45</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45</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45</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45</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45</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45</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45</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45</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45</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45</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45</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45</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45</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45</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45</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45</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45</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45</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45</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45</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45</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45</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45</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45</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45</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45</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45</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45</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45</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45</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45</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45</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45</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45</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45</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45</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45</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45</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45</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45</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45</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45</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45</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45</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45</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45</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45</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45</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45</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45</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45</v>
      </c>
      <c r="K1001" t="s">
        <v>32</v>
      </c>
      <c r="L1001">
        <v>53</v>
      </c>
      <c r="M1001" t="str">
        <f t="shared" si="15"/>
        <v>Middle Age</v>
      </c>
      <c r="N1001" t="s">
        <v>15</v>
      </c>
    </row>
    <row r="1002" spans="1:14" x14ac:dyDescent="0.3">
      <c r="D1002"/>
    </row>
    <row r="1003" spans="1:14" x14ac:dyDescent="0.3">
      <c r="D1003"/>
    </row>
    <row r="1004" spans="1:14" x14ac:dyDescent="0.3">
      <c r="D1004"/>
    </row>
    <row r="1005" spans="1:14" x14ac:dyDescent="0.3">
      <c r="D1005"/>
    </row>
    <row r="1006" spans="1:14" x14ac:dyDescent="0.3">
      <c r="D1006"/>
    </row>
    <row r="1007" spans="1:14" x14ac:dyDescent="0.3">
      <c r="D1007"/>
    </row>
    <row r="1008" spans="1:14" x14ac:dyDescent="0.3">
      <c r="D1008"/>
    </row>
    <row r="1009" spans="4:4" x14ac:dyDescent="0.3">
      <c r="D1009"/>
    </row>
    <row r="1010" spans="4:4" x14ac:dyDescent="0.3">
      <c r="D1010"/>
    </row>
    <row r="1011" spans="4:4" x14ac:dyDescent="0.3">
      <c r="D1011"/>
    </row>
    <row r="1012" spans="4:4" x14ac:dyDescent="0.3">
      <c r="D1012"/>
    </row>
    <row r="1013" spans="4:4" x14ac:dyDescent="0.3">
      <c r="D1013"/>
    </row>
    <row r="1014" spans="4:4" x14ac:dyDescent="0.3">
      <c r="D1014"/>
    </row>
    <row r="1015" spans="4:4" x14ac:dyDescent="0.3">
      <c r="D1015"/>
    </row>
    <row r="1016" spans="4:4" x14ac:dyDescent="0.3">
      <c r="D1016"/>
    </row>
    <row r="1017" spans="4:4" x14ac:dyDescent="0.3">
      <c r="D1017"/>
    </row>
    <row r="1018" spans="4:4" x14ac:dyDescent="0.3">
      <c r="D1018"/>
    </row>
    <row r="1019" spans="4:4" x14ac:dyDescent="0.3">
      <c r="D1019"/>
    </row>
    <row r="1020" spans="4:4" x14ac:dyDescent="0.3">
      <c r="D1020"/>
    </row>
    <row r="1021" spans="4:4" x14ac:dyDescent="0.3">
      <c r="D1021"/>
    </row>
    <row r="1022" spans="4:4" x14ac:dyDescent="0.3">
      <c r="D1022"/>
    </row>
    <row r="1023" spans="4:4" x14ac:dyDescent="0.3">
      <c r="D1023"/>
    </row>
    <row r="1024" spans="4:4" x14ac:dyDescent="0.3">
      <c r="D1024"/>
    </row>
    <row r="1025" spans="4:4" x14ac:dyDescent="0.3">
      <c r="D1025"/>
    </row>
    <row r="1026" spans="4:4" x14ac:dyDescent="0.3">
      <c r="D1026"/>
    </row>
    <row r="1027" spans="4:4" x14ac:dyDescent="0.3">
      <c r="D1027"/>
    </row>
  </sheetData>
  <autoFilter ref="A1:N1001" xr:uid="{88CE1E48-8D47-4CB8-84C9-9CE3C5D46F2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2BE00-DC69-4CA7-B502-91EC41969232}">
  <dimension ref="A1:N3"/>
  <sheetViews>
    <sheetView showGridLines="0" tabSelected="1" workbookViewId="0">
      <selection activeCell="S15" sqref="S15"/>
    </sheetView>
  </sheetViews>
  <sheetFormatPr defaultRowHeight="14.4" x14ac:dyDescent="0.3"/>
  <cols>
    <col min="10" max="10" width="8.88671875" customWidth="1"/>
  </cols>
  <sheetData>
    <row r="1" spans="1:14" ht="14.4" customHeight="1" x14ac:dyDescent="0.3">
      <c r="A1" s="7" t="s">
        <v>50</v>
      </c>
      <c r="B1" s="7"/>
      <c r="C1" s="7"/>
      <c r="D1" s="7"/>
      <c r="E1" s="7"/>
      <c r="F1" s="7"/>
      <c r="G1" s="7"/>
      <c r="H1" s="7"/>
      <c r="I1" s="7"/>
      <c r="J1" s="7"/>
      <c r="K1" s="7"/>
      <c r="L1" s="7"/>
      <c r="M1" s="7"/>
      <c r="N1" s="7"/>
    </row>
    <row r="2" spans="1:14" ht="14.4" customHeight="1" x14ac:dyDescent="0.3">
      <c r="A2" s="7"/>
      <c r="B2" s="7"/>
      <c r="C2" s="7"/>
      <c r="D2" s="7"/>
      <c r="E2" s="7"/>
      <c r="F2" s="7"/>
      <c r="G2" s="7"/>
      <c r="H2" s="7"/>
      <c r="I2" s="7"/>
      <c r="J2" s="7"/>
      <c r="K2" s="7"/>
      <c r="L2" s="7"/>
      <c r="M2" s="7"/>
      <c r="N2" s="7"/>
    </row>
    <row r="3" spans="1:14" ht="14.4" customHeight="1" x14ac:dyDescent="0.3">
      <c r="A3" s="7"/>
      <c r="B3" s="7"/>
      <c r="C3" s="7"/>
      <c r="D3" s="7"/>
      <c r="E3" s="7"/>
      <c r="F3" s="7"/>
      <c r="G3" s="7"/>
      <c r="H3" s="7"/>
      <c r="I3" s="7"/>
      <c r="J3" s="7"/>
      <c r="K3" s="7"/>
      <c r="L3" s="7"/>
      <c r="M3" s="7"/>
      <c r="N3" s="7"/>
    </row>
  </sheetData>
  <mergeCells count="1">
    <mergeCell ref="A1: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Pivot Tables</vt:lpstr>
      <vt:lpstr>Working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2022-03-18T02:50:57Z</dcterms:created>
  <dcterms:modified xsi:type="dcterms:W3CDTF">2026-06-13T21:46:16Z</dcterms:modified>
</cp:coreProperties>
</file>